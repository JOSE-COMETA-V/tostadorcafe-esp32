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es" sheetId="1" r:id="rId5"/>
  </sheets>
  <definedNames/>
  <calcPr/>
</workbook>
</file>

<file path=xl/sharedStrings.xml><?xml version="1.0" encoding="utf-8"?>
<sst xmlns="http://schemas.openxmlformats.org/spreadsheetml/2006/main" count="85" uniqueCount="80">
  <si>
    <t>Item</t>
  </si>
  <si>
    <t>Qty</t>
  </si>
  <si>
    <t>Value (Componente)</t>
  </si>
  <si>
    <t>Device</t>
  </si>
  <si>
    <t>Package</t>
  </si>
  <si>
    <t>Description</t>
  </si>
  <si>
    <t>Unit Price (COP)</t>
  </si>
  <si>
    <t>25 Price (COP)</t>
  </si>
  <si>
    <t>SUMA (COP)</t>
  </si>
  <si>
    <t>SUMA 1000 (COP)</t>
  </si>
  <si>
    <t>Distribuidor</t>
  </si>
  <si>
    <t>Ref. Dis. (Link)</t>
  </si>
  <si>
    <t>ESP32 NodeMCU</t>
  </si>
  <si>
    <t>ESP32-WROOM-32</t>
  </si>
  <si>
    <t>PCB 38 Pines</t>
  </si>
  <si>
    <t>Módulo Microcontrolador Dual-Core Wi-Fi/BLE</t>
  </si>
  <si>
    <t>Astron / MercadoLibre</t>
  </si>
  <si>
    <t>https://listado.mercadolibre.com.co/esp32-nodemcu</t>
  </si>
  <si>
    <t>MAX6675 + Termopar K</t>
  </si>
  <si>
    <t>Sensor Temp</t>
  </si>
  <si>
    <t>Módulo + Sonda M6</t>
  </si>
  <si>
    <t>Módulo Muestreador Termopar SPI (0–1024°C)</t>
  </si>
  <si>
    <t>La Nota Musical / MercadoLibre</t>
  </si>
  <si>
    <t>https://listado.mercadolibre.com.co/max6675-termopar</t>
  </si>
  <si>
    <t>HX711 + Celda 1kg</t>
  </si>
  <si>
    <t>Sensor Masa</t>
  </si>
  <si>
    <t>Módulo + Barra Alum</t>
  </si>
  <si>
    <t>Celda de Carga 1kg + Transmisor ADC 24-bits</t>
  </si>
  <si>
    <t>MercadoLibre / Electrónica Popayán</t>
  </si>
  <si>
    <t>https://listado.mercadolibre.com.co/hx711-celda-carga</t>
  </si>
  <si>
    <t>DS3231 RTC</t>
  </si>
  <si>
    <t>Reloj RTC</t>
  </si>
  <si>
    <t>Módulo + CR2032</t>
  </si>
  <si>
    <t>Reloj de Tiempo Real TCXO I2C + Batería</t>
  </si>
  <si>
    <t>https://listado.mercadolibre.com.co/ds3231-rtc</t>
  </si>
  <si>
    <t>Resistencia 1200W</t>
  </si>
  <si>
    <t>Calentador Eléctrico</t>
  </si>
  <si>
    <t>Tubular Inox 110V</t>
  </si>
  <si>
    <t>Resistencia Tubular Aletada Inox 110V</t>
  </si>
  <si>
    <t>https://listado.mercadolibre.com.co/resistencia-1200w-110v</t>
  </si>
  <si>
    <t>SSR-40DA</t>
  </si>
  <si>
    <t>Relé Estado Sólido</t>
  </si>
  <si>
    <t>Puck + Disipador</t>
  </si>
  <si>
    <t>Relé 40A Entrada 3-32VDC Salida 24-380VAC</t>
  </si>
  <si>
    <t>https://listado.mercadolibre.com.co/ssr-40da</t>
  </si>
  <si>
    <t>Extractor AC + Relé 5V</t>
  </si>
  <si>
    <t>Extractor Humos</t>
  </si>
  <si>
    <t>Chasis Metal 120mm</t>
  </si>
  <si>
    <t>Ventilador Axial AC 110V 120mm + Relé 5V</t>
  </si>
  <si>
    <t>La Nota Musical / Electrónica Popayán</t>
  </si>
  <si>
    <t>https://listado.mercadolibre.com.co/extractor-110v-120mm</t>
  </si>
  <si>
    <t>Motorreductor + L298N</t>
  </si>
  <si>
    <t>Motor Tambor</t>
  </si>
  <si>
    <t>Caja Engranajes + PCB</t>
  </si>
  <si>
    <t>Motor DC 12V 60RPM + Driver Puente H L298N</t>
  </si>
  <si>
    <t>https://listado.mercadolibre.com.co/motorreductor-12v-l298n</t>
  </si>
  <si>
    <t>Fuente 12V 5A + LM2596</t>
  </si>
  <si>
    <t>Fuente / Regulador</t>
  </si>
  <si>
    <t>Gabinete + Módulo</t>
  </si>
  <si>
    <t>Fuente Conmutada 12V 5A + Step-Down LM2596</t>
  </si>
  <si>
    <t>MercadoLibre/ Astron</t>
  </si>
  <si>
    <t>https://listado.mercadolibre.com.co/fuente-12v-5a-lm2596</t>
  </si>
  <si>
    <t>Kit Cableado</t>
  </si>
  <si>
    <t>Accesorios</t>
  </si>
  <si>
    <t>Kit Varios</t>
  </si>
  <si>
    <t>Protoboard, Jumpers, Leds y Switch</t>
  </si>
  <si>
    <t>Astron / La Nota Musical</t>
  </si>
  <si>
    <t>https://listado.mercadolibre.com.co/kit-protoboard-jumpers</t>
  </si>
  <si>
    <t>Buzzer Alarma Sonora 5V</t>
  </si>
  <si>
    <t>Alarma Acústica</t>
  </si>
  <si>
    <t>Zumbador 5V</t>
  </si>
  <si>
    <t>Electrónica Popayán / Astron</t>
  </si>
  <si>
    <t>https://listado.mercadolibre.com.co/buzzer-5v</t>
  </si>
  <si>
    <t>Gabinete para estructura completa</t>
  </si>
  <si>
    <t>Caja metalica</t>
  </si>
  <si>
    <t>Chasis Metal/ABS</t>
  </si>
  <si>
    <t>Estructura para todo el sistema</t>
  </si>
  <si>
    <t>MercadoLibre</t>
  </si>
  <si>
    <t>https://listado.mercadolibre.com.co/gabinete-metalico-electrico</t>
  </si>
  <si>
    <t>Costo Aproximado ($):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</si>
</sst>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FF"/>
      <name val="Arial"/>
    </font>
    <font>
      <color theme="1"/>
      <name val="Arial"/>
    </font>
    <font>
      <u/>
      <color rgb="FF0000FF"/>
      <name val="Arial"/>
    </font>
    <font>
      <b/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istado.mercadolibre.com.co/buzzer-5v" TargetMode="External"/><Relationship Id="rId10" Type="http://schemas.openxmlformats.org/officeDocument/2006/relationships/hyperlink" Target="https://listado.mercadolibre.com.co/kit-protoboard-jumper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istado.mercadolibre.com.co/gabinete-metalico-electrico" TargetMode="External"/><Relationship Id="rId1" Type="http://schemas.openxmlformats.org/officeDocument/2006/relationships/hyperlink" Target="https://listado.mercadolibre.com.co/esp32-nodemcu" TargetMode="External"/><Relationship Id="rId2" Type="http://schemas.openxmlformats.org/officeDocument/2006/relationships/hyperlink" Target="https://listado.mercadolibre.com.co/max6675-termopar" TargetMode="External"/><Relationship Id="rId3" Type="http://schemas.openxmlformats.org/officeDocument/2006/relationships/hyperlink" Target="https://listado.mercadolibre.com.co/hx711-celda-carga" TargetMode="External"/><Relationship Id="rId4" Type="http://schemas.openxmlformats.org/officeDocument/2006/relationships/hyperlink" Target="https://listado.mercadolibre.com.co/ds3231-rtc" TargetMode="External"/><Relationship Id="rId9" Type="http://schemas.openxmlformats.org/officeDocument/2006/relationships/hyperlink" Target="https://listado.mercadolibre.com.co/fuente-12v-5a-lm2596" TargetMode="External"/><Relationship Id="rId5" Type="http://schemas.openxmlformats.org/officeDocument/2006/relationships/hyperlink" Target="https://listado.mercadolibre.com.co/resistencia-1200w-110v" TargetMode="External"/><Relationship Id="rId6" Type="http://schemas.openxmlformats.org/officeDocument/2006/relationships/hyperlink" Target="https://listado.mercadolibre.com.co/ssr-40da" TargetMode="External"/><Relationship Id="rId7" Type="http://schemas.openxmlformats.org/officeDocument/2006/relationships/hyperlink" Target="https://listado.mercadolibre.com.co/extractor-110v-120mm" TargetMode="External"/><Relationship Id="rId8" Type="http://schemas.openxmlformats.org/officeDocument/2006/relationships/hyperlink" Target="https://listado.mercadolibre.com.co/motorreductor-12v-l298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  <col customWidth="1" min="4" max="4" width="21.38"/>
    <col customWidth="1" min="5" max="5" width="20.88"/>
    <col customWidth="1" min="6" max="6" width="40.0"/>
    <col customWidth="1" min="7" max="7" width="15.13"/>
    <col customWidth="1" min="10" max="10" width="21.63"/>
    <col customWidth="1" min="11" max="11" width="34.25"/>
    <col customWidth="1" min="12" max="12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1.0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26000.0</v>
      </c>
      <c r="H2" s="2">
        <v>24500.0</v>
      </c>
      <c r="I2" s="2">
        <v>26000.0</v>
      </c>
      <c r="J2" s="2">
        <v>23400.0</v>
      </c>
      <c r="K2" s="2" t="s">
        <v>16</v>
      </c>
      <c r="L2" s="3" t="s">
        <v>17</v>
      </c>
    </row>
    <row r="3">
      <c r="A3" s="2">
        <v>2.0</v>
      </c>
      <c r="B3" s="2">
        <v>1.0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19200.0</v>
      </c>
      <c r="H3" s="2">
        <v>17800.0</v>
      </c>
      <c r="I3" s="2">
        <v>19200.0</v>
      </c>
      <c r="J3" s="2">
        <v>16800.0</v>
      </c>
      <c r="K3" s="2" t="s">
        <v>22</v>
      </c>
      <c r="L3" s="3" t="s">
        <v>23</v>
      </c>
    </row>
    <row r="4">
      <c r="A4" s="2">
        <v>3.0</v>
      </c>
      <c r="B4" s="2">
        <v>1.0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20800.0</v>
      </c>
      <c r="H4" s="2">
        <v>19200.0</v>
      </c>
      <c r="I4" s="2">
        <v>20800.0</v>
      </c>
      <c r="J4" s="2">
        <v>18000.0</v>
      </c>
      <c r="K4" s="2" t="s">
        <v>28</v>
      </c>
      <c r="L4" s="3" t="s">
        <v>29</v>
      </c>
    </row>
    <row r="5">
      <c r="A5" s="2">
        <v>4.0</v>
      </c>
      <c r="B5" s="2">
        <v>1.0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14000.0</v>
      </c>
      <c r="H5" s="2">
        <v>13000.0</v>
      </c>
      <c r="I5" s="2">
        <v>14000.0</v>
      </c>
      <c r="J5" s="2">
        <v>12000.0</v>
      </c>
      <c r="K5" s="2" t="s">
        <v>22</v>
      </c>
      <c r="L5" s="3" t="s">
        <v>34</v>
      </c>
    </row>
    <row r="6">
      <c r="A6" s="2">
        <v>5.0</v>
      </c>
      <c r="B6" s="2">
        <v>1.0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74000.0</v>
      </c>
      <c r="H6" s="2">
        <v>68000.0</v>
      </c>
      <c r="I6" s="2">
        <v>74000.0</v>
      </c>
      <c r="J6" s="2">
        <v>64000.0</v>
      </c>
      <c r="K6" s="2" t="s">
        <v>22</v>
      </c>
      <c r="L6" s="3" t="s">
        <v>39</v>
      </c>
    </row>
    <row r="7">
      <c r="A7" s="2">
        <v>6.0</v>
      </c>
      <c r="B7" s="2">
        <v>1.0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30000.0</v>
      </c>
      <c r="H7" s="2">
        <v>28000.0</v>
      </c>
      <c r="I7" s="2">
        <v>30000.0</v>
      </c>
      <c r="J7" s="2">
        <v>26000.0</v>
      </c>
      <c r="K7" s="2" t="s">
        <v>16</v>
      </c>
      <c r="L7" s="3" t="s">
        <v>44</v>
      </c>
    </row>
    <row r="8">
      <c r="A8" s="2">
        <v>7.0</v>
      </c>
      <c r="B8" s="2">
        <v>1.0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44000.0</v>
      </c>
      <c r="H8" s="2">
        <v>41000.0</v>
      </c>
      <c r="I8" s="2">
        <v>44000.0</v>
      </c>
      <c r="J8" s="2">
        <v>38000.0</v>
      </c>
      <c r="K8" s="2" t="s">
        <v>49</v>
      </c>
      <c r="L8" s="3" t="s">
        <v>50</v>
      </c>
    </row>
    <row r="9">
      <c r="A9" s="2">
        <v>8.0</v>
      </c>
      <c r="B9" s="2">
        <v>1.0</v>
      </c>
      <c r="C9" s="2" t="s">
        <v>51</v>
      </c>
      <c r="D9" s="2" t="s">
        <v>52</v>
      </c>
      <c r="E9" s="2" t="s">
        <v>53</v>
      </c>
      <c r="F9" s="2" t="s">
        <v>54</v>
      </c>
      <c r="G9" s="2">
        <v>56000.0</v>
      </c>
      <c r="H9" s="2">
        <v>51000.0</v>
      </c>
      <c r="I9" s="2">
        <v>56000.0</v>
      </c>
      <c r="J9" s="2">
        <v>48000.0</v>
      </c>
      <c r="K9" s="2" t="s">
        <v>16</v>
      </c>
      <c r="L9" s="3" t="s">
        <v>55</v>
      </c>
    </row>
    <row r="10">
      <c r="A10" s="2">
        <v>9.0</v>
      </c>
      <c r="B10" s="2">
        <v>1.0</v>
      </c>
      <c r="C10" s="2" t="s">
        <v>56</v>
      </c>
      <c r="D10" s="2" t="s">
        <v>57</v>
      </c>
      <c r="E10" s="2" t="s">
        <v>58</v>
      </c>
      <c r="F10" s="2" t="s">
        <v>59</v>
      </c>
      <c r="G10" s="2">
        <v>50000.0</v>
      </c>
      <c r="H10" s="2">
        <v>46000.0</v>
      </c>
      <c r="I10" s="2">
        <v>50000.0</v>
      </c>
      <c r="J10" s="2">
        <v>43200.0</v>
      </c>
      <c r="K10" s="2" t="s">
        <v>60</v>
      </c>
      <c r="L10" s="3" t="s">
        <v>61</v>
      </c>
    </row>
    <row r="11">
      <c r="A11" s="2">
        <v>10.0</v>
      </c>
      <c r="B11" s="2">
        <v>1.0</v>
      </c>
      <c r="C11" s="2" t="s">
        <v>62</v>
      </c>
      <c r="D11" s="2" t="s">
        <v>63</v>
      </c>
      <c r="E11" s="2" t="s">
        <v>64</v>
      </c>
      <c r="F11" s="2" t="s">
        <v>65</v>
      </c>
      <c r="G11" s="2">
        <v>22000.0</v>
      </c>
      <c r="H11" s="2">
        <v>20000.0</v>
      </c>
      <c r="I11" s="2">
        <v>22000.0</v>
      </c>
      <c r="J11" s="2">
        <v>19200.0</v>
      </c>
      <c r="K11" s="2" t="s">
        <v>66</v>
      </c>
      <c r="L11" s="3" t="s">
        <v>67</v>
      </c>
    </row>
    <row r="12">
      <c r="A12" s="2">
        <v>11.0</v>
      </c>
      <c r="B12" s="2">
        <v>1.0</v>
      </c>
      <c r="C12" s="2" t="s">
        <v>68</v>
      </c>
      <c r="D12" s="2" t="s">
        <v>69</v>
      </c>
      <c r="E12" s="2" t="s">
        <v>70</v>
      </c>
      <c r="F12" s="2" t="s">
        <v>70</v>
      </c>
      <c r="G12" s="2">
        <v>3500.0</v>
      </c>
      <c r="H12" s="2">
        <v>3000.0</v>
      </c>
      <c r="I12" s="2">
        <v>3500.0</v>
      </c>
      <c r="J12" s="2">
        <v>2800.0</v>
      </c>
      <c r="K12" s="2" t="s">
        <v>71</v>
      </c>
      <c r="L12" s="3" t="s">
        <v>72</v>
      </c>
    </row>
    <row r="13">
      <c r="A13" s="2">
        <v>12.0</v>
      </c>
      <c r="B13" s="2">
        <v>1.0</v>
      </c>
      <c r="C13" s="2" t="s">
        <v>73</v>
      </c>
      <c r="D13" s="2" t="s">
        <v>74</v>
      </c>
      <c r="E13" s="2" t="s">
        <v>75</v>
      </c>
      <c r="F13" s="2" t="s">
        <v>76</v>
      </c>
      <c r="G13" s="2">
        <v>50000.0</v>
      </c>
      <c r="H13" s="2">
        <v>50000.0</v>
      </c>
      <c r="I13" s="2">
        <v>50000.0</v>
      </c>
      <c r="J13" s="2">
        <v>50000.0</v>
      </c>
      <c r="K13" s="2" t="s">
        <v>77</v>
      </c>
      <c r="L13" s="3" t="s">
        <v>78</v>
      </c>
    </row>
    <row r="15">
      <c r="F15" s="4" t="s">
        <v>79</v>
      </c>
      <c r="G15" s="5">
        <f>SUM(G2:G13)</f>
        <v>409500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</hyperlinks>
  <drawing r:id="rId13"/>
</worksheet>
</file>